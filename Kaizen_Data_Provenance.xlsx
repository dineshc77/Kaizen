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een data sources" sheetId="1" state="visible" r:id="rId3"/>
    <sheet name="DB additions" sheetId="2" state="visible" r:id="rId4"/>
    <sheet name="Non-data ele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<sst xmlns="http://schemas.openxmlformats.org/spreadsheetml/2006/main" count="193" uniqueCount="157">
  <si>
    <t xml:space="preserve">Screen / Section</t>
  </si>
  <si>
    <t xml:space="preserve">What is shown</t>
  </si>
  <si>
    <t xml:space="preserve">Source table(s) in kaizen.db</t>
  </si>
  <si>
    <t xml:space="preserve">Data status</t>
  </si>
  <si>
    <t xml:space="preserve">EMPLOYEE PORTAL</t>
  </si>
  <si>
    <t xml:space="preserve">Feed</t>
  </si>
  <si>
    <t xml:space="preserve">Idea cards: title, submitter, dept, plant, stage, est/realized savings, endorsement &amp; comment counts</t>
  </si>
  <si>
    <t xml:space="preserve">ideas, users, departments, plants, stages, idea_benefits, endorsements (count), comments (count)</t>
  </si>
  <si>
    <t xml:space="preserve">Already in DB</t>
  </si>
  <si>
    <t xml:space="preserve">My ideas</t>
  </si>
  <si>
    <t xml:space="preserve">Ganesh Patil's 27 ideas with stage progress, savings</t>
  </si>
  <si>
    <t xml:space="preserve">ideas (submitter_id), idea_benefits</t>
  </si>
  <si>
    <t xml:space="preserve">Success stories</t>
  </si>
  <si>
    <t xml:space="preserve">Implemented ideas ranked by realized savings, reward tier from score</t>
  </si>
  <si>
    <t xml:space="preserve">ideas, idea_benefits, idea_outcomes</t>
  </si>
  <si>
    <t xml:space="preserve">Profile header</t>
  </si>
  <si>
    <t xml:space="preserve">Name, dept, plant, joined year, reward points / award count</t>
  </si>
  <si>
    <t xml:space="preserve">users (name, department_id, plant_id, joined_date, points_balance), reward_awards</t>
  </si>
  <si>
    <t xml:space="preserve">Profile · pipeline &amp; recognition</t>
  </si>
  <si>
    <t xml:space="preserve">Stage counts, total endorsements, areas contributed</t>
  </si>
  <si>
    <t xml:space="preserve">ideas, endorsements, tracks (distinct count)</t>
  </si>
  <si>
    <t xml:space="preserve">Idea detail</t>
  </si>
  <si>
    <t xml:space="preserve">Problem statement, proposed solution, benefits, workflow history, comments, attachments</t>
  </si>
  <si>
    <t xml:space="preserve">ideas, idea_benefits, workflow_history, comments, idea_attachments</t>
  </si>
  <si>
    <t xml:space="preserve">Leaderboard</t>
  </si>
  <si>
    <t xml:space="preserve">Top savers by realized ₹ L/yr</t>
  </si>
  <si>
    <t xml:space="preserve">ideas, idea_benefits, users</t>
  </si>
  <si>
    <t xml:space="preserve">Submit · duplicate detection</t>
  </si>
  <si>
    <t xml:space="preserve">5 walkthrough ideas + matching keyword vocabulary</t>
  </si>
  <si>
    <t xml:space="preserve">ideas (5 new rows), idea_keywords (62 rows)</t>
  </si>
  <si>
    <t xml:space="preserve">ADDED to DB</t>
  </si>
  <si>
    <t xml:space="preserve">Voice greeting</t>
  </si>
  <si>
    <t xml:space="preserve">Live persona's first name</t>
  </si>
  <si>
    <t xml:space="preserve">users (via bootstrap persona)</t>
  </si>
  <si>
    <t xml:space="preserve">REVIEWER SCREENS</t>
  </si>
  <si>
    <t xml:space="preserve">Evaluation queue</t>
  </si>
  <si>
    <t xml:space="preserve">450 Nagda ideas in evaluation: title, dept, tier, score, SLA</t>
  </si>
  <si>
    <t xml:space="preserve">ideas, stages, tiers, departments</t>
  </si>
  <si>
    <t xml:space="preserve">Evaluate idea</t>
  </si>
  <si>
    <t xml:space="preserve">Real problem/solution text, attachment counts, clarification comments</t>
  </si>
  <si>
    <t xml:space="preserve">ideas, idea_attachments, comments</t>
  </si>
  <si>
    <t xml:space="preserve">Scoring criteria</t>
  </si>
  <si>
    <t xml:space="preserve">Impact / Effort / Feasibility sub-scores of the actual evaluation</t>
  </si>
  <si>
    <t xml:space="preserve">evaluations (impact_score, effort_score, feasibility_score)</t>
  </si>
  <si>
    <t xml:space="preserve">Evaluation history</t>
  </si>
  <si>
    <t xml:space="preserve">Past ideas with exact scores and outcomes</t>
  </si>
  <si>
    <t xml:space="preserve">ideas, evaluations</t>
  </si>
  <si>
    <t xml:space="preserve">APPROVER SCREENS</t>
  </si>
  <si>
    <t xml:space="preserve">Approval queue</t>
  </si>
  <si>
    <t xml:space="preserve">276 Nagda ideas awaiting approval, value &amp; SLA</t>
  </si>
  <si>
    <t xml:space="preserve">ideas, idea_benefits</t>
  </si>
  <si>
    <t xml:space="preserve">Approval decision</t>
  </si>
  <si>
    <t xml:space="preserve">Real evaluator names + their actual total scores</t>
  </si>
  <si>
    <t xml:space="preserve">evaluations, users</t>
  </si>
  <si>
    <t xml:space="preserve">Decision charts</t>
  </si>
  <si>
    <t xml:space="preserve">Approved/rejected mix, value approved by month</t>
  </si>
  <si>
    <t xml:space="preserve">ideas (aggregated client-side)</t>
  </si>
  <si>
    <t xml:space="preserve">CI MANAGER CONSOLE</t>
  </si>
  <si>
    <t xml:space="preserve">Command dashboard</t>
  </si>
  <si>
    <t xml:space="preserve">All KPIs, trend/category/funnel/department/savings charts over 20,798 ideas</t>
  </si>
  <si>
    <t xml:space="preserve">ideas + joins (aggregated client-side)</t>
  </si>
  <si>
    <t xml:space="preserve">Dashboard · cycle times</t>
  </si>
  <si>
    <t xml:space="preserve">Avg days per stage</t>
  </si>
  <si>
    <t xml:space="preserve">workflow_history (self-join)</t>
  </si>
  <si>
    <t xml:space="preserve">Dashboard · top contributors</t>
  </si>
  <si>
    <t xml:space="preserve">Best per benefit dimension (money/energy/safety/water/quality)</t>
  </si>
  <si>
    <t xml:space="preserve">idea_benefits, benefit_types, users</t>
  </si>
  <si>
    <t xml:space="preserve">Idea intake · cards</t>
  </si>
  <si>
    <t xml:space="preserve">12 newest intake ideas, tier, real SLA status</t>
  </si>
  <si>
    <t xml:space="preserve">ideas, tiers</t>
  </si>
  <si>
    <t xml:space="preserve">Idea intake · Section A</t>
  </si>
  <si>
    <t xml:space="preserve">Problem + solution text, attachment counts, submitter</t>
  </si>
  <si>
    <t xml:space="preserve">ideas, idea_attachments, users</t>
  </si>
  <si>
    <t xml:space="preserve">Idea intake · Section B (classification)</t>
  </si>
  <si>
    <t xml:space="preserve">Department / Track / Tier / Language values with confidences</t>
  </si>
  <si>
    <t xml:space="preserve">idea_classifications (17,771 rows for 2,474 intake ideas)</t>
  </si>
  <si>
    <t xml:space="preserve">Idea intake · Section C (workflow designer)</t>
  </si>
  <si>
    <t xml:space="preserve">12 specialist review tracks + suggested track assignments with confidences</t>
  </si>
  <si>
    <t xml:space="preserve">workflow_tracks (12 rows), idea_classifications (workflow_track rows)</t>
  </si>
  <si>
    <t xml:space="preserve">Intake reviewer dropdowns</t>
  </si>
  <si>
    <t xml:space="preserve">Reviewer names per track</t>
  </si>
  <si>
    <t xml:space="preserve">group_members, users (62 members)</t>
  </si>
  <si>
    <t xml:space="preserve">Pipeline &amp; SLA</t>
  </si>
  <si>
    <t xml:space="preserve">5,2xx in-flight ideas, breach-first, reviewer progress panel</t>
  </si>
  <si>
    <t xml:space="preserve">ideas; reviewer pool from group_members</t>
  </si>
  <si>
    <t xml:space="preserve">Implementation kanban · board</t>
  </si>
  <si>
    <t xml:space="preserve">10-step task board per idea: titles, phases, assignees, due dates, statuses, block reasons</t>
  </si>
  <si>
    <t xml:space="preserve">implementation_tasks (30,790 rows for 3,079 ideas), users</t>
  </si>
  <si>
    <t xml:space="preserve">Rewards &amp; ROI · candidates</t>
  </si>
  <si>
    <t xml:space="preserve">Done ideas, est vs realized, variance</t>
  </si>
  <si>
    <t xml:space="preserve">Rewards &amp; ROI · award engine</t>
  </si>
  <si>
    <t xml:space="preserve">10 award definitions + 7 highlight rules with editable thresholds</t>
  </si>
  <si>
    <t xml:space="preserve">award_definitions (10), award_highlight_rules (7)</t>
  </si>
  <si>
    <t xml:space="preserve">Rewards · engagement scores</t>
  </si>
  <si>
    <t xml:space="preserve">Endorsements + comments per idea</t>
  </si>
  <si>
    <t xml:space="preserve">endorsements, comments (counts)</t>
  </si>
  <si>
    <t xml:space="preserve">Published + draft stories from real done ideas</t>
  </si>
  <si>
    <t xml:space="preserve">Groups</t>
  </si>
  <si>
    <t xml:space="preserve">14 plant panels, 62 members with dept, role, real review counts; workload chart</t>
  </si>
  <si>
    <t xml:space="preserve">groups, group_members, users, evaluations, approvals</t>
  </si>
  <si>
    <t xml:space="preserve">Reports &amp; analytics</t>
  </si>
  <si>
    <t xml:space="preserve">All 8 report charts over the full dataset</t>
  </si>
  <si>
    <t xml:space="preserve">Sidebar persona</t>
  </si>
  <si>
    <t xml:space="preserve">CI manager name &amp; plant</t>
  </si>
  <si>
    <t xml:space="preserve">users (role-based persona)</t>
  </si>
  <si>
    <t xml:space="preserve">New table / rows</t>
  </si>
  <si>
    <t xml:space="preserve">Rows</t>
  </si>
  <si>
    <t xml:space="preserve">What it stores</t>
  </si>
  <si>
    <t xml:space="preserve">Why it was added</t>
  </si>
  <si>
    <t xml:space="preserve">workflow_tracks</t>
  </si>
  <si>
    <t xml:space="preserve">The 12 specialist review tracks of the designed Kaizen workflow (key, name, domain, phase, color, default SLA)</t>
  </si>
  <si>
    <t xml:space="preserve">The intake workflow designer and groups coverage matrix previously used a hardcoded client-side list</t>
  </si>
  <si>
    <t xml:space="preserve">idea_classifications</t>
  </si>
  <si>
    <t xml:space="preserve">Per-intake-idea classification rows: Department / Track / Tier / Language values with confidence %, plus suggested workflow-track assignments</t>
  </si>
  <si>
    <t xml:space="preserve">Intake Section B (system classification) and Section C (suggested tracks) previously showed hardcoded values for 5 demo titles only</t>
  </si>
  <si>
    <t xml:space="preserve">implementation_tasks</t>
  </si>
  <si>
    <t xml:space="preserve">10-step delivery task board per implementation-stage idea: title, phase, assignee (real plant-group member), due date, status, block reason</t>
  </si>
  <si>
    <t xml:space="preserve">The kanban board previously generated task cards client-side with fictional assignees and hardcoded dates</t>
  </si>
  <si>
    <t xml:space="preserve">award_definitions</t>
  </si>
  <si>
    <t xml:space="preserve">The 10 recognition awards (Gold/Silver/Bronze medallions, Cash, Safety, Green, Innovation, Spot, Team, Certificate) with eligibility conditions as JSON</t>
  </si>
  <si>
    <t xml:space="preserve">The rewards screen award catalog and its thresholds previously lived only in the HTML</t>
  </si>
  <si>
    <t xml:space="preserve">award_highlight_rules</t>
  </si>
  <si>
    <t xml:space="preserve">The 7 "why this idea deserves recognition" rules with aspect, operator, threshold, unit</t>
  </si>
  <si>
    <t xml:space="preserve">The reward auto-flagging rules and thresholds previously lived only in the HTML</t>
  </si>
  <si>
    <t xml:space="preserve">ideas (+5 rows)</t>
  </si>
  <si>
    <t xml:space="preserve">Five Nagda walkthrough ideas used by the voice duplicate-detection demo (real submitters, departments, tracks, stages)</t>
  </si>
  <si>
    <t xml:space="preserve">These existed only as hardcoded HTML cards; now they are ordinary DB ideas served by the same APIs</t>
  </si>
  <si>
    <t xml:space="preserve">idea_keywords</t>
  </si>
  <si>
    <t xml:space="preserve">Matching vocabulary (synonyms, colloquial phrasings) per walkthrough idea for duplicate detection</t>
  </si>
  <si>
    <t xml:space="preserve">The matching keywords previously lived only in the HTML</t>
  </si>
  <si>
    <t xml:space="preserve">ideas — content enrichment</t>
  </si>
  <si>
    <t xml:space="preserve">Every idea rewritten with a unique title and realistic, department-specific problem statement, proposed solution and area of impact (length mix: brief / medium / high / multi-paragraph; ≤10 one-liners). 20,798 of 20,798 titles unique.</t>
  </si>
  <si>
    <t xml:space="preserve">Original data had only 797 distinct titles and ~32-character one-line descriptions — too thin and repetitive for a GenAI agent to answer meaningfully</t>
  </si>
  <si>
    <t xml:space="preserve">evaluations.comment</t>
  </si>
  <si>
    <t xml:space="preserve">Evaluator closing notes on every evaluation, matched to the advance/reject decision</t>
  </si>
  <si>
    <t xml:space="preserve">All 18,319 evaluation comment fields were empty</t>
  </si>
  <si>
    <t xml:space="preserve">approvals.comment</t>
  </si>
  <si>
    <t xml:space="preserve">Approver decision notes (funding source, trial conditions, scheduling) on every approval</t>
  </si>
  <si>
    <t xml:space="preserve">All 12,503 approval comment fields were empty</t>
  </si>
  <si>
    <t xml:space="preserve">comments — clarification threads</t>
  </si>
  <si>
    <t xml:space="preserve">Reviewer/approver clarification questions with matching employee replies (plus peer-support comments), timestamped along each idea's timeline</t>
  </si>
  <si>
    <t xml:space="preserve">Comments were 6,231 generic one-liners with no question→answer structure</t>
  </si>
  <si>
    <t xml:space="preserve">Total rows added</t>
  </si>
  <si>
    <t xml:space="preserve">Element</t>
  </si>
  <si>
    <t xml:space="preserve">Where</t>
  </si>
  <si>
    <t xml:space="preserve">Explanation</t>
  </si>
  <si>
    <t xml:space="preserve">Labels &amp; headings</t>
  </si>
  <si>
    <t xml:space="preserve">All screens</t>
  </si>
  <si>
    <t xml:space="preserve">Stage names, section titles, button labels, tier pipeline names (Tier A/B/C levels) are product copy, not data. Tier definitions themselves exist in the tiers table.</t>
  </si>
  <si>
    <t xml:space="preserve">Write actions</t>
  </si>
  <si>
    <t xml:space="preserve">Approve / reject / publish / drag-drop edits show confirmations but do not persist — writes arrive with the Postgres build, per the agreed scope.</t>
  </si>
  <si>
    <t xml:space="preserve">Built-in demo dataset</t>
  </si>
  <si>
    <t xml:space="preserve">Both HTML files</t>
  </si>
  <si>
    <t xml:space="preserve">Used ONLY as an offline fallback if the backend is unreachable (e.g. opening the file from disk). When served from Render, a loading screen shows until live data arrives, so no demo value is ever rendered.</t>
  </si>
  <si>
    <t xml:space="preserve">Role switcher / login</t>
  </si>
  <si>
    <t xml:space="preserve">Portal sidebar</t>
  </si>
  <si>
    <t xml:space="preserve">Personas (employee / evaluator / approver / CI manager) are real users selected from the users table by role; authentication itself is out of POC scope.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</si>
</sst>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2F3B4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E8EBEF"/>
        <bgColor rgb="FFE2F0E5"/>
      </patternFill>
    </fill>
    <fill>
      <patternFill patternType="solid">
        <fgColor rgb="FFE2F0E5"/>
        <bgColor rgb="FFE8EBEF"/>
      </patternFill>
    </fill>
    <fill>
      <patternFill patternType="solid">
        <fgColor rgb="FFFFF3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DD3"/>
      <rgbColor rgb="FF808080"/>
      <rgbColor rgb="FF9999FF"/>
      <rgbColor rgb="FF993366"/>
      <rgbColor rgb="FFFFF3DC"/>
      <rgbColor rgb="FFE8EB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62"/>
    <col collapsed="false" customWidth="true" hidden="false" outlineLevel="0" max="3" min="3" style="1" width="52"/>
    <col collapsed="false" customWidth="true" hidden="false" outlineLevel="0" max="4" min="4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4"/>
      <c r="C2" s="4"/>
      <c r="D2" s="4"/>
    </row>
    <row r="3" customFormat="false" ht="23.25" hidden="false" customHeight="true" outlineLevel="0" collapsed="false">
      <c r="A3" s="5" t="s">
        <v>5</v>
      </c>
      <c r="B3" s="5" t="s">
        <v>6</v>
      </c>
      <c r="C3" s="5" t="s">
        <v>7</v>
      </c>
      <c r="D3" s="6" t="s">
        <v>8</v>
      </c>
    </row>
    <row r="4" customFormat="false" ht="15" hidden="false" customHeight="true" outlineLevel="0" collapsed="false">
      <c r="A4" s="5" t="s">
        <v>9</v>
      </c>
      <c r="B4" s="5" t="s">
        <v>10</v>
      </c>
      <c r="C4" s="5" t="s">
        <v>11</v>
      </c>
      <c r="D4" s="6" t="s">
        <v>8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</v>
      </c>
      <c r="D5" s="6" t="s">
        <v>8</v>
      </c>
    </row>
    <row r="6" customFormat="false" ht="23.25" hidden="false" customHeight="true" outlineLevel="0" collapsed="false">
      <c r="A6" s="5" t="s">
        <v>15</v>
      </c>
      <c r="B6" s="5" t="s">
        <v>16</v>
      </c>
      <c r="C6" s="5" t="s">
        <v>17</v>
      </c>
      <c r="D6" s="6" t="s">
        <v>8</v>
      </c>
    </row>
    <row r="7" customFormat="false" ht="15" hidden="false" customHeight="true" outlineLevel="0" collapsed="false">
      <c r="A7" s="5" t="s">
        <v>18</v>
      </c>
      <c r="B7" s="5" t="s">
        <v>19</v>
      </c>
      <c r="C7" s="5" t="s">
        <v>20</v>
      </c>
      <c r="D7" s="6" t="s">
        <v>8</v>
      </c>
    </row>
    <row r="8" customFormat="false" ht="23.25" hidden="false" customHeight="true" outlineLevel="0" collapsed="false">
      <c r="A8" s="5" t="s">
        <v>21</v>
      </c>
      <c r="B8" s="5" t="s">
        <v>22</v>
      </c>
      <c r="C8" s="5" t="s">
        <v>23</v>
      </c>
      <c r="D8" s="6" t="s">
        <v>8</v>
      </c>
    </row>
    <row r="9" customFormat="false" ht="15" hidden="false" customHeight="true" outlineLevel="0" collapsed="false">
      <c r="A9" s="5" t="s">
        <v>24</v>
      </c>
      <c r="B9" s="5" t="s">
        <v>25</v>
      </c>
      <c r="C9" s="5" t="s">
        <v>26</v>
      </c>
      <c r="D9" s="6" t="s">
        <v>8</v>
      </c>
    </row>
    <row r="10" customFormat="false" ht="15" hidden="false" customHeight="true" outlineLevel="0" collapsed="false">
      <c r="A10" s="5" t="s">
        <v>27</v>
      </c>
      <c r="B10" s="5" t="s">
        <v>28</v>
      </c>
      <c r="C10" s="5" t="s">
        <v>29</v>
      </c>
      <c r="D10" s="7" t="s">
        <v>30</v>
      </c>
    </row>
    <row r="11" customFormat="false" ht="15" hidden="false" customHeight="true" outlineLevel="0" collapsed="false">
      <c r="A11" s="5" t="s">
        <v>31</v>
      </c>
      <c r="B11" s="5" t="s">
        <v>32</v>
      </c>
      <c r="C11" s="5" t="s">
        <v>33</v>
      </c>
      <c r="D11" s="6" t="s">
        <v>8</v>
      </c>
    </row>
    <row r="12" customFormat="false" ht="15" hidden="false" customHeight="true" outlineLevel="0" collapsed="false">
      <c r="A12" s="3" t="s">
        <v>34</v>
      </c>
      <c r="B12" s="4"/>
      <c r="C12" s="4"/>
      <c r="D12" s="4"/>
    </row>
    <row r="13" customFormat="false" ht="15" hidden="false" customHeight="true" outlineLevel="0" collapsed="false">
      <c r="A13" s="5" t="s">
        <v>35</v>
      </c>
      <c r="B13" s="5" t="s">
        <v>36</v>
      </c>
      <c r="C13" s="5" t="s">
        <v>37</v>
      </c>
      <c r="D13" s="6" t="s">
        <v>8</v>
      </c>
    </row>
    <row r="14" customFormat="false" ht="15" hidden="false" customHeight="true" outlineLevel="0" collapsed="false">
      <c r="A14" s="5" t="s">
        <v>38</v>
      </c>
      <c r="B14" s="5" t="s">
        <v>39</v>
      </c>
      <c r="C14" s="5" t="s">
        <v>40</v>
      </c>
      <c r="D14" s="6" t="s">
        <v>8</v>
      </c>
    </row>
    <row r="15" customFormat="false" ht="15" hidden="false" customHeight="true" outlineLevel="0" collapsed="false">
      <c r="A15" s="5" t="s">
        <v>41</v>
      </c>
      <c r="B15" s="5" t="s">
        <v>42</v>
      </c>
      <c r="C15" s="5" t="s">
        <v>43</v>
      </c>
      <c r="D15" s="6" t="s">
        <v>8</v>
      </c>
    </row>
    <row r="16" customFormat="false" ht="15" hidden="false" customHeight="true" outlineLevel="0" collapsed="false">
      <c r="A16" s="5" t="s">
        <v>44</v>
      </c>
      <c r="B16" s="5" t="s">
        <v>45</v>
      </c>
      <c r="C16" s="5" t="s">
        <v>46</v>
      </c>
      <c r="D16" s="6" t="s">
        <v>8</v>
      </c>
    </row>
    <row r="17" customFormat="false" ht="15" hidden="false" customHeight="true" outlineLevel="0" collapsed="false">
      <c r="A17" s="3" t="s">
        <v>47</v>
      </c>
      <c r="B17" s="4"/>
      <c r="C17" s="4"/>
      <c r="D17" s="4"/>
    </row>
    <row r="18" customFormat="false" ht="15" hidden="false" customHeight="true" outlineLevel="0" collapsed="false">
      <c r="A18" s="5" t="s">
        <v>48</v>
      </c>
      <c r="B18" s="5" t="s">
        <v>49</v>
      </c>
      <c r="C18" s="5" t="s">
        <v>50</v>
      </c>
      <c r="D18" s="6" t="s">
        <v>8</v>
      </c>
    </row>
    <row r="19" customFormat="false" ht="15" hidden="false" customHeight="true" outlineLevel="0" collapsed="false">
      <c r="A19" s="5" t="s">
        <v>51</v>
      </c>
      <c r="B19" s="5" t="s">
        <v>52</v>
      </c>
      <c r="C19" s="5" t="s">
        <v>53</v>
      </c>
      <c r="D19" s="6" t="s">
        <v>8</v>
      </c>
    </row>
    <row r="20" customFormat="false" ht="15" hidden="false" customHeight="true" outlineLevel="0" collapsed="false">
      <c r="A20" s="5" t="s">
        <v>54</v>
      </c>
      <c r="B20" s="5" t="s">
        <v>55</v>
      </c>
      <c r="C20" s="5" t="s">
        <v>56</v>
      </c>
      <c r="D20" s="6" t="s">
        <v>8</v>
      </c>
    </row>
    <row r="21" customFormat="false" ht="15" hidden="false" customHeight="true" outlineLevel="0" collapsed="false">
      <c r="A21" s="3" t="s">
        <v>57</v>
      </c>
      <c r="B21" s="4"/>
      <c r="C21" s="4"/>
      <c r="D21" s="4"/>
    </row>
    <row r="22" customFormat="false" ht="15" hidden="false" customHeight="true" outlineLevel="0" collapsed="false">
      <c r="A22" s="5" t="s">
        <v>58</v>
      </c>
      <c r="B22" s="5" t="s">
        <v>59</v>
      </c>
      <c r="C22" s="5" t="s">
        <v>60</v>
      </c>
      <c r="D22" s="6" t="s">
        <v>8</v>
      </c>
    </row>
    <row r="23" customFormat="false" ht="15" hidden="false" customHeight="true" outlineLevel="0" collapsed="false">
      <c r="A23" s="5" t="s">
        <v>61</v>
      </c>
      <c r="B23" s="5" t="s">
        <v>62</v>
      </c>
      <c r="C23" s="5" t="s">
        <v>63</v>
      </c>
      <c r="D23" s="6" t="s">
        <v>8</v>
      </c>
    </row>
    <row r="24" customFormat="false" ht="15" hidden="false" customHeight="true" outlineLevel="0" collapsed="false">
      <c r="A24" s="5" t="s">
        <v>64</v>
      </c>
      <c r="B24" s="5" t="s">
        <v>65</v>
      </c>
      <c r="C24" s="5" t="s">
        <v>66</v>
      </c>
      <c r="D24" s="6" t="s">
        <v>8</v>
      </c>
    </row>
    <row r="25" customFormat="false" ht="15" hidden="false" customHeight="true" outlineLevel="0" collapsed="false">
      <c r="A25" s="5" t="s">
        <v>67</v>
      </c>
      <c r="B25" s="5" t="s">
        <v>68</v>
      </c>
      <c r="C25" s="5" t="s">
        <v>69</v>
      </c>
      <c r="D25" s="6" t="s">
        <v>8</v>
      </c>
    </row>
    <row r="26" customFormat="false" ht="15" hidden="false" customHeight="true" outlineLevel="0" collapsed="false">
      <c r="A26" s="5" t="s">
        <v>70</v>
      </c>
      <c r="B26" s="5" t="s">
        <v>71</v>
      </c>
      <c r="C26" s="5" t="s">
        <v>72</v>
      </c>
      <c r="D26" s="6" t="s">
        <v>8</v>
      </c>
    </row>
    <row r="27" customFormat="false" ht="15" hidden="false" customHeight="true" outlineLevel="0" collapsed="false">
      <c r="A27" s="5" t="s">
        <v>73</v>
      </c>
      <c r="B27" s="5" t="s">
        <v>74</v>
      </c>
      <c r="C27" s="5" t="s">
        <v>75</v>
      </c>
      <c r="D27" s="7" t="s">
        <v>30</v>
      </c>
    </row>
    <row r="28" customFormat="false" ht="23.25" hidden="false" customHeight="true" outlineLevel="0" collapsed="false">
      <c r="A28" s="5" t="s">
        <v>76</v>
      </c>
      <c r="B28" s="5" t="s">
        <v>77</v>
      </c>
      <c r="C28" s="5" t="s">
        <v>78</v>
      </c>
      <c r="D28" s="7" t="s">
        <v>30</v>
      </c>
    </row>
    <row r="29" customFormat="false" ht="15" hidden="false" customHeight="true" outlineLevel="0" collapsed="false">
      <c r="A29" s="5" t="s">
        <v>79</v>
      </c>
      <c r="B29" s="5" t="s">
        <v>80</v>
      </c>
      <c r="C29" s="5" t="s">
        <v>81</v>
      </c>
      <c r="D29" s="6" t="s">
        <v>8</v>
      </c>
    </row>
    <row r="30" customFormat="false" ht="15" hidden="false" customHeight="true" outlineLevel="0" collapsed="false">
      <c r="A30" s="5" t="s">
        <v>82</v>
      </c>
      <c r="B30" s="5" t="s">
        <v>83</v>
      </c>
      <c r="C30" s="5" t="s">
        <v>84</v>
      </c>
      <c r="D30" s="6" t="s">
        <v>8</v>
      </c>
    </row>
    <row r="31" customFormat="false" ht="23.25" hidden="false" customHeight="true" outlineLevel="0" collapsed="false">
      <c r="A31" s="5" t="s">
        <v>85</v>
      </c>
      <c r="B31" s="5" t="s">
        <v>86</v>
      </c>
      <c r="C31" s="5" t="s">
        <v>87</v>
      </c>
      <c r="D31" s="7" t="s">
        <v>30</v>
      </c>
    </row>
    <row r="32" customFormat="false" ht="15" hidden="false" customHeight="true" outlineLevel="0" collapsed="false">
      <c r="A32" s="5" t="s">
        <v>88</v>
      </c>
      <c r="B32" s="5" t="s">
        <v>89</v>
      </c>
      <c r="C32" s="5" t="s">
        <v>14</v>
      </c>
      <c r="D32" s="6" t="s">
        <v>8</v>
      </c>
    </row>
    <row r="33" customFormat="false" ht="15" hidden="false" customHeight="true" outlineLevel="0" collapsed="false">
      <c r="A33" s="5" t="s">
        <v>90</v>
      </c>
      <c r="B33" s="5" t="s">
        <v>91</v>
      </c>
      <c r="C33" s="5" t="s">
        <v>92</v>
      </c>
      <c r="D33" s="7" t="s">
        <v>30</v>
      </c>
    </row>
    <row r="34" customFormat="false" ht="15" hidden="false" customHeight="true" outlineLevel="0" collapsed="false">
      <c r="A34" s="5" t="s">
        <v>93</v>
      </c>
      <c r="B34" s="5" t="s">
        <v>94</v>
      </c>
      <c r="C34" s="5" t="s">
        <v>95</v>
      </c>
      <c r="D34" s="6" t="s">
        <v>8</v>
      </c>
    </row>
    <row r="35" customFormat="false" ht="15" hidden="false" customHeight="true" outlineLevel="0" collapsed="false">
      <c r="A35" s="5" t="s">
        <v>12</v>
      </c>
      <c r="B35" s="5" t="s">
        <v>96</v>
      </c>
      <c r="C35" s="5" t="s">
        <v>50</v>
      </c>
      <c r="D35" s="6" t="s">
        <v>8</v>
      </c>
    </row>
    <row r="36" customFormat="false" ht="23.25" hidden="false" customHeight="true" outlineLevel="0" collapsed="false">
      <c r="A36" s="5" t="s">
        <v>97</v>
      </c>
      <c r="B36" s="5" t="s">
        <v>98</v>
      </c>
      <c r="C36" s="5" t="s">
        <v>99</v>
      </c>
      <c r="D36" s="6" t="s">
        <v>8</v>
      </c>
    </row>
    <row r="37" customFormat="false" ht="15" hidden="false" customHeight="true" outlineLevel="0" collapsed="false">
      <c r="A37" s="5" t="s">
        <v>100</v>
      </c>
      <c r="B37" s="5" t="s">
        <v>101</v>
      </c>
      <c r="C37" s="5" t="s">
        <v>60</v>
      </c>
      <c r="D37" s="6" t="s">
        <v>8</v>
      </c>
    </row>
    <row r="38" customFormat="false" ht="15" hidden="false" customHeight="true" outlineLevel="0" collapsed="false">
      <c r="A38" s="5" t="s">
        <v>102</v>
      </c>
      <c r="B38" s="5" t="s">
        <v>103</v>
      </c>
      <c r="C38" s="5" t="s">
        <v>104</v>
      </c>
      <c r="D38" s="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64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105</v>
      </c>
      <c r="B1" s="2" t="s">
        <v>106</v>
      </c>
      <c r="C1" s="2" t="s">
        <v>107</v>
      </c>
      <c r="D1" s="2" t="s">
        <v>108</v>
      </c>
    </row>
    <row r="2" customFormat="false" ht="23.25" hidden="false" customHeight="true" outlineLevel="0" collapsed="false">
      <c r="A2" s="5" t="s">
        <v>109</v>
      </c>
      <c r="B2" s="5" t="n">
        <v>12</v>
      </c>
      <c r="C2" s="5" t="s">
        <v>110</v>
      </c>
      <c r="D2" s="5" t="s">
        <v>111</v>
      </c>
    </row>
    <row r="3" customFormat="false" ht="23.25" hidden="false" customHeight="true" outlineLevel="0" collapsed="false">
      <c r="A3" s="5" t="s">
        <v>112</v>
      </c>
      <c r="B3" s="5" t="n">
        <v>17771</v>
      </c>
      <c r="C3" s="5" t="s">
        <v>113</v>
      </c>
      <c r="D3" s="5" t="s">
        <v>114</v>
      </c>
    </row>
    <row r="4" customFormat="false" ht="23.25" hidden="false" customHeight="true" outlineLevel="0" collapsed="false">
      <c r="A4" s="5" t="s">
        <v>115</v>
      </c>
      <c r="B4" s="5" t="n">
        <v>30790</v>
      </c>
      <c r="C4" s="5" t="s">
        <v>116</v>
      </c>
      <c r="D4" s="5" t="s">
        <v>117</v>
      </c>
    </row>
    <row r="5" customFormat="false" ht="23.25" hidden="false" customHeight="true" outlineLevel="0" collapsed="false">
      <c r="A5" s="5" t="s">
        <v>118</v>
      </c>
      <c r="B5" s="5" t="n">
        <v>10</v>
      </c>
      <c r="C5" s="5" t="s">
        <v>119</v>
      </c>
      <c r="D5" s="5" t="s">
        <v>120</v>
      </c>
    </row>
    <row r="6" customFormat="false" ht="23.25" hidden="false" customHeight="true" outlineLevel="0" collapsed="false">
      <c r="A6" s="5" t="s">
        <v>121</v>
      </c>
      <c r="B6" s="5" t="n">
        <v>7</v>
      </c>
      <c r="C6" s="5" t="s">
        <v>122</v>
      </c>
      <c r="D6" s="5" t="s">
        <v>123</v>
      </c>
    </row>
    <row r="7" customFormat="false" ht="23.25" hidden="false" customHeight="true" outlineLevel="0" collapsed="false">
      <c r="A7" s="5" t="s">
        <v>124</v>
      </c>
      <c r="B7" s="5" t="n">
        <v>5</v>
      </c>
      <c r="C7" s="5" t="s">
        <v>125</v>
      </c>
      <c r="D7" s="5" t="s">
        <v>126</v>
      </c>
    </row>
    <row r="8" customFormat="false" ht="23.25" hidden="false" customHeight="true" outlineLevel="0" collapsed="false">
      <c r="A8" s="5" t="s">
        <v>127</v>
      </c>
      <c r="B8" s="5" t="n">
        <v>62</v>
      </c>
      <c r="C8" s="5" t="s">
        <v>128</v>
      </c>
      <c r="D8" s="5" t="s">
        <v>129</v>
      </c>
    </row>
    <row r="9" customFormat="false" ht="15" hidden="false" customHeight="true" outlineLevel="0" collapsed="false">
      <c r="A9" s="5" t="s">
        <v>130</v>
      </c>
      <c r="B9" s="5" t="n">
        <v>20793</v>
      </c>
      <c r="C9" s="5" t="s">
        <v>131</v>
      </c>
      <c r="D9" s="5" t="s">
        <v>132</v>
      </c>
    </row>
    <row r="10" customFormat="false" ht="23.85" hidden="false" customHeight="false" outlineLevel="0" collapsed="false">
      <c r="A10" s="5" t="s">
        <v>133</v>
      </c>
      <c r="B10" s="5" t="n">
        <v>18319</v>
      </c>
      <c r="C10" s="5" t="s">
        <v>134</v>
      </c>
      <c r="D10" s="5" t="s">
        <v>135</v>
      </c>
    </row>
    <row r="11" customFormat="false" ht="23.85" hidden="false" customHeight="false" outlineLevel="0" collapsed="false">
      <c r="A11" s="5" t="s">
        <v>136</v>
      </c>
      <c r="B11" s="5" t="n">
        <v>12503</v>
      </c>
      <c r="C11" s="5" t="s">
        <v>137</v>
      </c>
      <c r="D11" s="5" t="s">
        <v>138</v>
      </c>
    </row>
    <row r="12" customFormat="false" ht="23.85" hidden="false" customHeight="false" outlineLevel="0" collapsed="false">
      <c r="A12" s="5" t="s">
        <v>139</v>
      </c>
      <c r="B12" s="5" t="n">
        <v>24581</v>
      </c>
      <c r="C12" s="5" t="s">
        <v>140</v>
      </c>
      <c r="D12" s="5" t="s">
        <v>141</v>
      </c>
    </row>
    <row r="13" customFormat="false" ht="15" hidden="false" customHeight="false" outlineLevel="0" collapsed="false">
      <c r="A13" s="3" t="s">
        <v>142</v>
      </c>
      <c r="B13" s="8" t="n">
        <f aca="false">SUM(B2:B12)</f>
        <v>124853</v>
      </c>
      <c r="C13" s="4"/>
      <c r="D1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96"/>
  </cols>
  <sheetData>
    <row r="1" customFormat="false" ht="15" hidden="false" customHeight="true" outlineLevel="0" collapsed="false">
      <c r="A1" s="2" t="s">
        <v>143</v>
      </c>
      <c r="B1" s="2" t="s">
        <v>144</v>
      </c>
      <c r="C1" s="2" t="s">
        <v>145</v>
      </c>
    </row>
    <row r="2" customFormat="false" ht="23.25" hidden="false" customHeight="true" outlineLevel="0" collapsed="false">
      <c r="A2" s="5" t="s">
        <v>146</v>
      </c>
      <c r="B2" s="5" t="s">
        <v>147</v>
      </c>
      <c r="C2" s="5" t="s">
        <v>148</v>
      </c>
    </row>
    <row r="3" customFormat="false" ht="23.25" hidden="false" customHeight="true" outlineLevel="0" collapsed="false">
      <c r="A3" s="5" t="s">
        <v>149</v>
      </c>
      <c r="B3" s="5" t="s">
        <v>147</v>
      </c>
      <c r="C3" s="5" t="s">
        <v>150</v>
      </c>
    </row>
    <row r="4" customFormat="false" ht="23.25" hidden="false" customHeight="true" outlineLevel="0" collapsed="false">
      <c r="A4" s="5" t="s">
        <v>151</v>
      </c>
      <c r="B4" s="5" t="s">
        <v>152</v>
      </c>
      <c r="C4" s="5" t="s">
        <v>153</v>
      </c>
    </row>
    <row r="5" customFormat="false" ht="23.25" hidden="false" customHeight="true" outlineLevel="0" collapsed="false">
      <c r="A5" s="5" t="s">
        <v>154</v>
      </c>
      <c r="B5" s="5" t="s">
        <v>155</v>
      </c>
      <c r="C5" s="5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2026-06-11T11:00:27Z</dcterms:created>
  <dc:creator>openpyxl</dc:creator>
  <dc:description/>
  <dc:language>en-US</dc:language>
  <cp:lastModifiedBy/>
  <dcterms:modified xsi:type="dcterms:W3CDTF">2026-06-11T11:52:11Z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